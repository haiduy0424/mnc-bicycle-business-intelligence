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Admin\Documents\Data Got Talent\Final round\LFRM model\Filter Bike By Region\Filter bike\Europe\"/>
    </mc:Choice>
  </mc:AlternateContent>
  <xr:revisionPtr revIDLastSave="0" documentId="13_ncr:1_{50DA1F33-AC65-4100-BE95-66559C1D799E}" xr6:coauthVersionLast="47" xr6:coauthVersionMax="47" xr10:uidLastSave="{00000000-0000-0000-0000-000000000000}"/>
  <bookViews>
    <workbookView xWindow="-118" yWindow="-118" windowWidth="25370" windowHeight="13759" xr2:uid="{00000000-000D-0000-FFFF-FFFF00000000}"/>
  </bookViews>
  <sheets>
    <sheet name="Sheet 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2" i="1" l="1"/>
  <c r="G31" i="1"/>
  <c r="G19" i="1"/>
  <c r="F16" i="1"/>
  <c r="G24" i="1"/>
  <c r="C14" i="1"/>
  <c r="C13" i="1"/>
  <c r="B13" i="1"/>
  <c r="B15" i="1"/>
  <c r="B14" i="1"/>
</calcChain>
</file>

<file path=xl/sharedStrings.xml><?xml version="1.0" encoding="utf-8"?>
<sst xmlns="http://schemas.openxmlformats.org/spreadsheetml/2006/main" count="44" uniqueCount="32">
  <si>
    <t>Cluster_6</t>
  </si>
  <si>
    <t>Count</t>
  </si>
  <si>
    <t>Length</t>
  </si>
  <si>
    <t>Frequency</t>
  </si>
  <si>
    <t>Recency</t>
  </si>
  <si>
    <t>Monetary</t>
  </si>
  <si>
    <t>Length.cmt</t>
  </si>
  <si>
    <t>Frequency.cmt</t>
  </si>
  <si>
    <t>Recency.cmt</t>
  </si>
  <si>
    <t>Monetary.cmt</t>
  </si>
  <si>
    <t>Final.cmt</t>
  </si>
  <si>
    <t>La</t>
  </si>
  <si>
    <t>Fb</t>
  </si>
  <si>
    <t>Ra</t>
  </si>
  <si>
    <t>Mm</t>
  </si>
  <si>
    <t>La Fb Ra Mm</t>
  </si>
  <si>
    <t>Lm</t>
  </si>
  <si>
    <t>Fm</t>
  </si>
  <si>
    <t>Rb</t>
  </si>
  <si>
    <t>Lm Fm Rb Mm</t>
  </si>
  <si>
    <t>Rm</t>
  </si>
  <si>
    <t>Ma</t>
  </si>
  <si>
    <t>Lm Fm Rm Ma</t>
  </si>
  <si>
    <t>Lb</t>
  </si>
  <si>
    <t>Mb</t>
  </si>
  <si>
    <t>Lb Fb Rb Mb</t>
  </si>
  <si>
    <t>Lb Fb Ra Mb</t>
  </si>
  <si>
    <t>Fa</t>
  </si>
  <si>
    <t>La Fa Rm Ma</t>
  </si>
  <si>
    <t>Short-term relationship</t>
  </si>
  <si>
    <t>Long-term relationship</t>
  </si>
  <si>
    <t>Lost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</si>
</sst>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'Sheet 1'!$A$13:$A$15</c:f>
              <c:strCache>
                <c:ptCount val="3"/>
                <c:pt idx="0">
                  <c:v>Short-term relationship</c:v>
                </c:pt>
                <c:pt idx="1">
                  <c:v>Long-term relationship</c:v>
                </c:pt>
                <c:pt idx="2">
                  <c:v>Lost Customer</c:v>
                </c:pt>
              </c:strCache>
            </c:strRef>
          </c:cat>
          <c:val>
            <c:numRef>
              <c:f>'Sheet 1'!$B$13:$B$15</c:f>
              <c:numCache>
                <c:formatCode>General</c:formatCode>
                <c:ptCount val="3"/>
                <c:pt idx="0">
                  <c:v>1201</c:v>
                </c:pt>
                <c:pt idx="1">
                  <c:v>1498</c:v>
                </c:pt>
                <c:pt idx="2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B-4427-871A-A97B58C59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598516</xdr:colOff>
      <xdr:row>12</xdr:row>
      <xdr:rowOff>24938</xdr:rowOff>
    </xdr:from>
    <xdr:to>
      <xdr:col>14</xdr:col>
      <xdr:colOff>847898</xdr:colOff>
      <xdr:row>26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60EC24-512A-48F6-8791-A00589607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C6" sqref="C6"/>
    </sheetView>
  </sheetViews>
  <sheetFormatPr defaultColWidth="11.5546875" defaultRowHeight="15.05" x14ac:dyDescent="0.3"/>
  <cols>
    <col min="7" max="7" width="12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53</v>
      </c>
      <c r="C2">
        <v>693</v>
      </c>
      <c r="D2">
        <v>1</v>
      </c>
      <c r="E2">
        <v>693</v>
      </c>
      <c r="F2">
        <v>2071.4196000000002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</row>
    <row r="3" spans="1:11" x14ac:dyDescent="0.3">
      <c r="A3">
        <v>2</v>
      </c>
      <c r="B3">
        <v>598</v>
      </c>
      <c r="C3">
        <v>648</v>
      </c>
      <c r="D3">
        <v>2</v>
      </c>
      <c r="E3">
        <v>66.5</v>
      </c>
      <c r="F3">
        <v>3212.84</v>
      </c>
      <c r="G3" t="s">
        <v>16</v>
      </c>
      <c r="H3" t="s">
        <v>17</v>
      </c>
      <c r="I3" t="s">
        <v>18</v>
      </c>
      <c r="J3" t="s">
        <v>14</v>
      </c>
      <c r="K3" t="s">
        <v>19</v>
      </c>
    </row>
    <row r="4" spans="1:11" x14ac:dyDescent="0.3">
      <c r="A4">
        <v>3</v>
      </c>
      <c r="B4">
        <v>454</v>
      </c>
      <c r="C4">
        <v>527.5</v>
      </c>
      <c r="D4">
        <v>2</v>
      </c>
      <c r="E4">
        <v>242</v>
      </c>
      <c r="F4">
        <v>3443.7874999999999</v>
      </c>
      <c r="G4" t="s">
        <v>16</v>
      </c>
      <c r="H4" t="s">
        <v>17</v>
      </c>
      <c r="I4" t="s">
        <v>20</v>
      </c>
      <c r="J4" t="s">
        <v>21</v>
      </c>
      <c r="K4" t="s">
        <v>22</v>
      </c>
    </row>
    <row r="5" spans="1:11" x14ac:dyDescent="0.3">
      <c r="A5">
        <v>4</v>
      </c>
      <c r="B5">
        <v>666</v>
      </c>
      <c r="C5">
        <v>68</v>
      </c>
      <c r="D5">
        <v>1</v>
      </c>
      <c r="E5">
        <v>68</v>
      </c>
      <c r="F5">
        <v>1120.49</v>
      </c>
      <c r="G5" t="s">
        <v>23</v>
      </c>
      <c r="H5" t="s">
        <v>12</v>
      </c>
      <c r="I5" t="s">
        <v>18</v>
      </c>
      <c r="J5" t="s">
        <v>24</v>
      </c>
      <c r="K5" t="s">
        <v>25</v>
      </c>
    </row>
    <row r="6" spans="1:11" x14ac:dyDescent="0.3">
      <c r="A6">
        <v>5</v>
      </c>
      <c r="B6">
        <v>535</v>
      </c>
      <c r="C6">
        <v>251</v>
      </c>
      <c r="D6">
        <v>1</v>
      </c>
      <c r="E6">
        <v>251</v>
      </c>
      <c r="F6">
        <v>1120.49</v>
      </c>
      <c r="G6" t="s">
        <v>23</v>
      </c>
      <c r="H6" t="s">
        <v>12</v>
      </c>
      <c r="I6" t="s">
        <v>13</v>
      </c>
      <c r="J6" t="s">
        <v>24</v>
      </c>
      <c r="K6" t="s">
        <v>26</v>
      </c>
    </row>
    <row r="7" spans="1:11" x14ac:dyDescent="0.3">
      <c r="A7">
        <v>6</v>
      </c>
      <c r="B7">
        <v>446</v>
      </c>
      <c r="C7">
        <v>687</v>
      </c>
      <c r="D7">
        <v>3</v>
      </c>
      <c r="E7">
        <v>78</v>
      </c>
      <c r="F7">
        <v>6860.6225000000004</v>
      </c>
      <c r="G7" t="s">
        <v>11</v>
      </c>
      <c r="H7" t="s">
        <v>27</v>
      </c>
      <c r="I7" t="s">
        <v>20</v>
      </c>
      <c r="J7" t="s">
        <v>21</v>
      </c>
      <c r="K7" t="s">
        <v>28</v>
      </c>
    </row>
    <row r="13" spans="1:11" x14ac:dyDescent="0.3">
      <c r="A13" t="s">
        <v>29</v>
      </c>
      <c r="B13">
        <f>SUM(B5:B6)</f>
        <v>1201</v>
      </c>
      <c r="C13">
        <f>B13/SUM($B$13:$B$15)</f>
        <v>0.43640988372093026</v>
      </c>
    </row>
    <row r="14" spans="1:11" x14ac:dyDescent="0.3">
      <c r="A14" t="s">
        <v>30</v>
      </c>
      <c r="B14">
        <f>SUM(B7,B3:B4)</f>
        <v>1498</v>
      </c>
      <c r="C14">
        <f>B14/SUM($B$13:$B$15)</f>
        <v>0.54433139534883723</v>
      </c>
    </row>
    <row r="15" spans="1:11" x14ac:dyDescent="0.3">
      <c r="A15" t="s">
        <v>31</v>
      </c>
      <c r="B15">
        <f>SUM(B2)</f>
        <v>53</v>
      </c>
    </row>
    <row r="16" spans="1:11" x14ac:dyDescent="0.3">
      <c r="F16">
        <f>SUM(E19:E20)</f>
        <v>1052</v>
      </c>
    </row>
    <row r="19" spans="5:7" x14ac:dyDescent="0.3">
      <c r="E19">
        <v>598</v>
      </c>
      <c r="F19">
        <v>3212.84</v>
      </c>
      <c r="G19">
        <f>E21/SUM(E19:E21)</f>
        <v>0.29773030707610149</v>
      </c>
    </row>
    <row r="20" spans="5:7" x14ac:dyDescent="0.3">
      <c r="E20">
        <v>454</v>
      </c>
      <c r="F20">
        <v>3443.7874999999999</v>
      </c>
    </row>
    <row r="21" spans="5:7" x14ac:dyDescent="0.3">
      <c r="E21">
        <v>446</v>
      </c>
      <c r="F21">
        <v>6860.6225000000004</v>
      </c>
    </row>
    <row r="24" spans="5:7" x14ac:dyDescent="0.3">
      <c r="G24" s="1">
        <f>SUMPRODUCT(E19:E21,F19:F21)/SUM(E19:E21)</f>
        <v>4368.8888384512684</v>
      </c>
    </row>
    <row r="31" spans="5:7" x14ac:dyDescent="0.3">
      <c r="G31">
        <f>54.5/98</f>
        <v>0.55612244897959184</v>
      </c>
    </row>
    <row r="32" spans="5:7" x14ac:dyDescent="0.3">
      <c r="G32">
        <f>1-G31</f>
        <v>0.44387755102040816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2022-03-11T11:27:09Z</dcterms:created>
  <dcterms:modified xsi:type="dcterms:W3CDTF">2022-03-15T00:27:57Z</dcterms:modified>
</cp:coreProperties>
</file>